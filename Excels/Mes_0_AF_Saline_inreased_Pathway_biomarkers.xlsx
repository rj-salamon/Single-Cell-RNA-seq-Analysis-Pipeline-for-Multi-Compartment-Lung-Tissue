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ckysalamon/Desktop/saline-6ohda-scrna-seq/Excel/"/>
    </mc:Choice>
  </mc:AlternateContent>
  <xr:revisionPtr revIDLastSave="0" documentId="13_ncr:1_{4F96C944-8D65-994C-8C79-BAC87A1AB1D5}" xr6:coauthVersionLast="47" xr6:coauthVersionMax="47" xr10:uidLastSave="{00000000-0000-0000-0000-000000000000}"/>
  <bookViews>
    <workbookView xWindow="4060" yWindow="3160" windowWidth="27240" windowHeight="16440" activeTab="1" xr2:uid="{71228182-35F5-734B-8382-AA78E3E6FB7F}"/>
  </bookViews>
  <sheets>
    <sheet name="Top 5 pathways" sheetId="3" r:id="rId1"/>
    <sheet name="Top canidates" sheetId="5" r:id="rId2"/>
    <sheet name="R-MMU-9006934" sheetId="2" r:id="rId3"/>
    <sheet name="R-MMU-1474244" sheetId="1" r:id="rId4"/>
    <sheet name="R-MMU-1566948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5" l="1"/>
</calcChain>
</file>

<file path=xl/sharedStrings.xml><?xml version="1.0" encoding="utf-8"?>
<sst xmlns="http://schemas.openxmlformats.org/spreadsheetml/2006/main" count="252" uniqueCount="180">
  <si>
    <t>gene</t>
  </si>
  <si>
    <t>&lt;chr&gt;</t>
  </si>
  <si>
    <t>avg_log2FC</t>
  </si>
  <si>
    <t>&lt;dbl&gt;</t>
  </si>
  <si>
    <t>p_val_adj</t>
  </si>
  <si>
    <t>Spp1</t>
  </si>
  <si>
    <t>Vwf</t>
  </si>
  <si>
    <t>Timp1</t>
  </si>
  <si>
    <t>Sdc3</t>
  </si>
  <si>
    <t>Tnc</t>
  </si>
  <si>
    <t>Col12a1</t>
  </si>
  <si>
    <t>Fbln2</t>
  </si>
  <si>
    <t>Ltbp2</t>
  </si>
  <si>
    <t>Itga5</t>
  </si>
  <si>
    <t>Itga2</t>
  </si>
  <si>
    <t>Fn1</t>
  </si>
  <si>
    <t>Adam12</t>
  </si>
  <si>
    <t>Col16a1</t>
  </si>
  <si>
    <t>Tgfb1</t>
  </si>
  <si>
    <t>Eln</t>
  </si>
  <si>
    <t>Pxdn</t>
  </si>
  <si>
    <t>Adam19</t>
  </si>
  <si>
    <t>Itga1</t>
  </si>
  <si>
    <t>Bmp1</t>
  </si>
  <si>
    <t>Acta2</t>
  </si>
  <si>
    <t>Ltbp3</t>
  </si>
  <si>
    <t>Col1a1</t>
  </si>
  <si>
    <t>Cd44</t>
  </si>
  <si>
    <t>Col4a2</t>
  </si>
  <si>
    <t>Adam15</t>
  </si>
  <si>
    <t>Col5a1</t>
  </si>
  <si>
    <t>Loxl2</t>
  </si>
  <si>
    <t>Adamts4</t>
  </si>
  <si>
    <t>Sh3pxd2a</t>
  </si>
  <si>
    <t>Efemp2</t>
  </si>
  <si>
    <t>Dtnb</t>
  </si>
  <si>
    <t>Lox</t>
  </si>
  <si>
    <t>Itgav</t>
  </si>
  <si>
    <t>Col4a1</t>
  </si>
  <si>
    <t>Plod3</t>
  </si>
  <si>
    <t>Furin</t>
  </si>
  <si>
    <t>Col1a2</t>
  </si>
  <si>
    <t>Ctsk</t>
  </si>
  <si>
    <t>Scube1</t>
  </si>
  <si>
    <t>Col28a1</t>
  </si>
  <si>
    <t>40 rows</t>
  </si>
  <si>
    <t>ECM</t>
  </si>
  <si>
    <t>R-MMU-1474244</t>
  </si>
  <si>
    <t>Pathway: Extracellular matrix organization</t>
  </si>
  <si>
    <t>Pathway: Signaling by Receptor Tyrosine Kinases</t>
  </si>
  <si>
    <t>R-MMU-9006934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</si>
  <si>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</si>
  <si>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</si>
  <si>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</si>
  <si>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</si>
  <si>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</si>
  <si>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</si>
  <si>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</si>
  <si>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</si>
  <si>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Extracellular matrix organization</t>
  </si>
  <si>
    <t>62/742</t>
  </si>
  <si>
    <t>263/8731</t>
  </si>
  <si>
    <t>20750/21857/16997/107581/12816/16998/109700/12153/17150/11475/11492/21923/234407/16410/69675/100952/58859/14218/14115/13038/21803/12831/240913/20970/94352/18550/16402/12505/58223/16419/17392/11489/17387/22371/64706/16948/26433/12834/213945/12305/18613/216725/11490/13528/14173/16398/12827/13138/50530/14268/16949/13717/12832/20971/14118/12842/12826/12111/12406/12843/12825/20692</t>
  </si>
  <si>
    <t>R-MMU-1566948</t>
  </si>
  <si>
    <t>Elastic fibre formation</t>
  </si>
  <si>
    <t>18/742</t>
  </si>
  <si>
    <t>39/8731</t>
  </si>
  <si>
    <t>16997/16998/17150/16410/100952/58859/14115/21803/94352/18550/16402/16419/16948/50530/14268/16949/13717/14118</t>
  </si>
  <si>
    <t>Signaling by Receptor Tyrosine Kinases</t>
  </si>
  <si>
    <t>69/742</t>
  </si>
  <si>
    <t>406/8731</t>
  </si>
  <si>
    <t>20750/384783/18596/17242/20393/17164/16410/13874/16653/19255/26362/19205/16452/12831/66340/226548/11652/12064/12402/69833/18550/56324/101314/12387/12539/232910/17974/51792/20021/214425/18749/58194/399558/14254/18791/19303/19247/12562/16000/21871/13654/20416/12834/12388/12928/17749/19271/15382/19273/12927/66420/18753/14173/23921/16923/16398/11773/319939/20779/20807/12827/14182/15507/14268/12832/12842/12826/12843/12825</t>
  </si>
  <si>
    <t>R-MMU-4086400</t>
  </si>
  <si>
    <t>PCP/CE pathway</t>
  </si>
  <si>
    <t>23/742</t>
  </si>
  <si>
    <t>73/8731</t>
  </si>
  <si>
    <t>26446/19173/14362/21762/75788/22123/106042/26442/26443/19179/22418/26563/26441/19175/232910/57296/74325/26444/19184/19172/11773/13542/14370</t>
  </si>
  <si>
    <t>R-MMU-8941858</t>
  </si>
  <si>
    <t>Regulation of RUNX3 expression and activity</t>
  </si>
  <si>
    <t>17/742</t>
  </si>
  <si>
    <t>42/8731</t>
  </si>
  <si>
    <t>26446/19173/21762/75788/21803/22123/26442/26443/19179/26441/19175/57296/17246/26444/19184/19172/20779</t>
  </si>
  <si>
    <t>R-MMU-4608870</t>
  </si>
  <si>
    <t>Asymmetric localization of PCP proteins</t>
  </si>
  <si>
    <t>48/8731</t>
  </si>
  <si>
    <t>26446/19173/14362/21762/75788/22123/106042/26442/26443/19179/22418/26441/19175/57296/26444/19184/19172/14370</t>
  </si>
  <si>
    <t>R-MMU-9711123</t>
  </si>
  <si>
    <t>Cellular response to chemical stress</t>
  </si>
  <si>
    <t>33/742</t>
  </si>
  <si>
    <t>141/8731</t>
  </si>
  <si>
    <t>26446/110323/20656/19173/21762/13063/22123/26442/12866/20467/26443/11652/19179/15368/69590/12861/26441/19175/269523/54683/57296/12868/67305/56551/12864/20602/12460/21672/26444/19184/14782/19172/56438</t>
  </si>
  <si>
    <t>R-MMU-3000171</t>
  </si>
  <si>
    <t>Non-integrin membrane-ECM interactions</t>
  </si>
  <si>
    <t>19/742</t>
  </si>
  <si>
    <t>57/8731</t>
  </si>
  <si>
    <t>11475/16410/21803/12831/20970/16419/12305/13528/14173/16398/12827/13138/14268/12832/20971/12842/12826/12843/12825</t>
  </si>
  <si>
    <t>Ereg</t>
  </si>
  <si>
    <t>Cilp</t>
  </si>
  <si>
    <t>Bdnf</t>
  </si>
  <si>
    <t>Flt1</t>
  </si>
  <si>
    <t>Ptpru</t>
  </si>
  <si>
    <t>Cdh5</t>
  </si>
  <si>
    <t>Igf1</t>
  </si>
  <si>
    <t>Hspb1</t>
  </si>
  <si>
    <t>Sh2b3</t>
  </si>
  <si>
    <t>Sh2b2</t>
  </si>
  <si>
    <t>Irs2</t>
  </si>
  <si>
    <t>Axl</t>
  </si>
  <si>
    <t>Plat</t>
  </si>
  <si>
    <t>Pdgfrb</t>
  </si>
  <si>
    <t>Sgk1</t>
  </si>
  <si>
    <t>Nck2</t>
  </si>
  <si>
    <t>Polr2f</t>
  </si>
  <si>
    <t>Polr2k</t>
  </si>
  <si>
    <t>Mdk</t>
  </si>
  <si>
    <t>Ptprj</t>
  </si>
  <si>
    <t>Ap2m1</t>
  </si>
  <si>
    <t>Srf</t>
  </si>
  <si>
    <t>Aph1a</t>
  </si>
  <si>
    <t>Col3a1</t>
  </si>
  <si>
    <t>Src</t>
  </si>
  <si>
    <t>Ctnnd1</t>
  </si>
  <si>
    <t>Ap2s1</t>
  </si>
  <si>
    <t>Ptpn2</t>
  </si>
  <si>
    <t>Pxn</t>
  </si>
  <si>
    <t>Ppp2r1a</t>
  </si>
  <si>
    <t>Pathway: Elastic Fiber Formation</t>
  </si>
  <si>
    <t>Mfap2</t>
  </si>
  <si>
    <t>Emilin1</t>
  </si>
  <si>
    <t>Mfap5</t>
  </si>
  <si>
    <t>Itgb5</t>
  </si>
  <si>
    <t>Fbn1</t>
  </si>
  <si>
    <t>Loxl1</t>
  </si>
  <si>
    <t>Gene</t>
  </si>
  <si>
    <t>Log2FC (avg)</t>
  </si>
  <si>
    <t>Pathways Involved</t>
  </si>
  <si>
    <t>Relevance</t>
  </si>
  <si>
    <t>All 3 pathways</t>
  </si>
  <si>
    <t>Fibronectin; ECM remodeling, fibroblast activation</t>
  </si>
  <si>
    <t>ECM, Elastic</t>
  </si>
  <si>
    <t>Master regulator of fibrosis; upstream of ECM deposition</t>
  </si>
  <si>
    <t>Itga5 / Itga2 / Itgav</t>
  </si>
  <si>
    <t>-1.00 to -0.51</t>
  </si>
  <si>
    <t>Integrins; ECM sensing, cell adhesion; targets of mechanical &amp; adrenergic stress</t>
  </si>
  <si>
    <t>Col1a1 / Col1a2 / Col3a1 / Col4a2 / Col5a1</t>
  </si>
  <si>
    <t>~-0.65 to -0.49</t>
  </si>
  <si>
    <t>ECM, RTK</t>
  </si>
  <si>
    <t>Collagens; canonical fibrosis mediators</t>
  </si>
  <si>
    <t>Spp1 (Osteopontin)</t>
  </si>
  <si>
    <t>RTK, ECM</t>
  </si>
  <si>
    <t>Pro-fibrotic cytokine; key marker of activated fibroblasts</t>
  </si>
  <si>
    <t>Lox / Loxl2</t>
  </si>
  <si>
    <t>~-0.55</t>
  </si>
  <si>
    <t>Elastic, ECM</t>
  </si>
  <si>
    <t>Collagen crosslinking; essential in fibrosis stiffness and maturation</t>
  </si>
  <si>
    <t>Activates latent TGF-β; strong fibrosis link</t>
  </si>
  <si>
    <t>Eln (Elastin)</t>
  </si>
  <si>
    <t>Structural ECM gene; decreased in lung fibrosis may indicate ECM remodeling imbalance</t>
  </si>
  <si>
    <t>Adam12 / Adam19 / Adamts4</t>
  </si>
  <si>
    <t>~-0.83 to -0.56</t>
  </si>
  <si>
    <t>ECM proteases; regulators of fibrosis remodeling</t>
  </si>
  <si>
    <t>Ltbp2 / Ltbp3</t>
  </si>
  <si>
    <t>TGF-β modulators; fibrotic niche regulators</t>
  </si>
  <si>
    <t>Matrix protein associated with vascular &amp; lung fibrosis</t>
  </si>
  <si>
    <t>RTK</t>
  </si>
  <si>
    <t>Key fibroblast growth factor receptor; therapeutic target</t>
  </si>
  <si>
    <t>Immune-related signaling adaptor; in fibro-inflammation regulation</t>
  </si>
  <si>
    <t>Pathway</t>
  </si>
  <si>
    <t>Functional Role</t>
  </si>
  <si>
    <t>Contractility &amp; ECM deposition downstream of α1A</t>
  </si>
  <si>
    <t>α1A induces Tgfb1 expression, feeds fibrotic loop</t>
  </si>
  <si>
    <t>α1A–MAPK signaling promotes Spp1, marker of pathologic fibroblasts</t>
  </si>
  <si>
    <t>Proliferation, survival; downstream of Gq-MAPK</t>
  </si>
  <si>
    <t>Activates latent TGF-β1; modulated by α1A via calcium/PKC</t>
  </si>
  <si>
    <t>Elastic</t>
  </si>
  <si>
    <t>Induced by mechanical stress downstream of contractile signals</t>
  </si>
  <si>
    <t>Itga5 / Itga2</t>
  </si>
  <si>
    <t>ECM sensing</t>
  </si>
  <si>
    <t>Mechanotransduction enhanced by α1A signaling tone</t>
  </si>
  <si>
    <t>My top picks: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</si>
</sst>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2"/>
      <color rgb="FF000000"/>
      <name val="Lucida Sans"/>
      <family val="2"/>
    </font>
    <font>
      <sz val="11"/>
      <color rgb="FF000000"/>
      <name val="Lucida Sans"/>
      <family val="2"/>
    </font>
    <font>
      <sz val="12"/>
      <color rgb="FF000000"/>
      <name val="Lucida Sans"/>
      <family val="2"/>
    </font>
    <font>
      <sz val="12"/>
      <color rgb="FF999999"/>
      <name val="Lucida Sans"/>
      <family val="2"/>
    </font>
    <font>
      <sz val="14"/>
      <color rgb="FF333333"/>
      <name val="Times"/>
    </font>
    <font>
      <b/>
      <sz val="12"/>
      <color theme="1"/>
      <name val="Times"/>
    </font>
    <font>
      <sz val="12"/>
      <color theme="1"/>
      <name val="Times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1" fontId="3" fillId="0" borderId="0" xfId="0" applyNumberFormat="1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1" fontId="7" fillId="0" borderId="0" xfId="0" applyNumberFormat="1" applyFont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5503-6D46-EF4A-B3A0-D60994767FC7}">
  <dimension ref="A1:I10"/>
  <sheetViews>
    <sheetView workbookViewId="0">
      <selection activeCell="A13" sqref="A13"/>
    </sheetView>
  </sheetViews>
  <sheetFormatPr baseColWidth="10" defaultRowHeight="16"/>
  <cols>
    <col min="1" max="1" width="26.6640625" customWidth="1"/>
    <col min="2" max="2" width="26.1640625" customWidth="1"/>
    <col min="3" max="3" width="46.6640625" customWidth="1"/>
  </cols>
  <sheetData>
    <row r="1" spans="1:9">
      <c r="A1" s="8" t="s">
        <v>51</v>
      </c>
      <c r="B1" s="8" t="s">
        <v>52</v>
      </c>
      <c r="C1" s="8" t="s">
        <v>53</v>
      </c>
      <c r="D1" s="8" t="s">
        <v>54</v>
      </c>
      <c r="E1" s="8" t="s">
        <v>55</v>
      </c>
      <c r="F1" s="8" t="s">
        <v>56</v>
      </c>
      <c r="G1" s="8" t="s">
        <v>57</v>
      </c>
      <c r="H1" s="8" t="s">
        <v>58</v>
      </c>
    </row>
    <row r="2" spans="1:9">
      <c r="A2" s="8"/>
      <c r="B2" s="8"/>
      <c r="C2" s="8"/>
      <c r="D2" s="8"/>
      <c r="E2" s="8"/>
      <c r="F2" s="8"/>
      <c r="G2" s="8"/>
      <c r="H2" s="8"/>
      <c r="I2" s="8"/>
    </row>
    <row r="3" spans="1:9">
      <c r="A3" s="9" t="s">
        <v>47</v>
      </c>
      <c r="B3" s="9" t="s">
        <v>47</v>
      </c>
      <c r="C3" s="9" t="s">
        <v>59</v>
      </c>
      <c r="D3" s="9" t="s">
        <v>60</v>
      </c>
      <c r="E3" s="9" t="s">
        <v>61</v>
      </c>
      <c r="F3" s="10">
        <v>4.3378648443808599E-14</v>
      </c>
      <c r="G3" s="10">
        <v>4.3335269795364802E-11</v>
      </c>
      <c r="H3" s="10">
        <v>3.4702918755046797E-11</v>
      </c>
      <c r="I3" s="9" t="s">
        <v>62</v>
      </c>
    </row>
    <row r="4" spans="1:9">
      <c r="A4" s="9" t="s">
        <v>63</v>
      </c>
      <c r="B4" s="9" t="s">
        <v>63</v>
      </c>
      <c r="C4" s="9" t="s">
        <v>64</v>
      </c>
      <c r="D4" s="9" t="s">
        <v>65</v>
      </c>
      <c r="E4" s="9" t="s">
        <v>66</v>
      </c>
      <c r="F4" s="10">
        <v>4.9395954571830003E-10</v>
      </c>
      <c r="G4" s="10">
        <v>2.4673279308629101E-7</v>
      </c>
      <c r="H4" s="10">
        <v>1.9758381828731999E-7</v>
      </c>
      <c r="I4" s="9" t="s">
        <v>67</v>
      </c>
    </row>
    <row r="5" spans="1:9">
      <c r="A5" s="9" t="s">
        <v>50</v>
      </c>
      <c r="B5" s="9" t="s">
        <v>50</v>
      </c>
      <c r="C5" s="9" t="s">
        <v>68</v>
      </c>
      <c r="D5" s="9" t="s">
        <v>69</v>
      </c>
      <c r="E5" s="9" t="s">
        <v>70</v>
      </c>
      <c r="F5" s="10">
        <v>1.16673931092199E-8</v>
      </c>
      <c r="G5" s="9">
        <v>3.5100902416080999E-6</v>
      </c>
      <c r="H5" s="9">
        <v>2.8108830763628402E-6</v>
      </c>
      <c r="I5" s="9" t="s">
        <v>71</v>
      </c>
    </row>
    <row r="6" spans="1:9">
      <c r="A6" s="9" t="s">
        <v>72</v>
      </c>
      <c r="B6" s="9" t="s">
        <v>72</v>
      </c>
      <c r="C6" s="9" t="s">
        <v>73</v>
      </c>
      <c r="D6" s="9" t="s">
        <v>74</v>
      </c>
      <c r="E6" s="9" t="s">
        <v>75</v>
      </c>
      <c r="F6" s="10">
        <v>1.60391547803786E-8</v>
      </c>
      <c r="G6" s="9">
        <v>3.5100902416080999E-6</v>
      </c>
      <c r="H6" s="9">
        <v>2.8108830763628402E-6</v>
      </c>
      <c r="I6" s="9" t="s">
        <v>76</v>
      </c>
    </row>
    <row r="7" spans="1:9">
      <c r="A7" s="9" t="s">
        <v>77</v>
      </c>
      <c r="B7" s="9" t="s">
        <v>77</v>
      </c>
      <c r="C7" s="9" t="s">
        <v>78</v>
      </c>
      <c r="D7" s="9" t="s">
        <v>79</v>
      </c>
      <c r="E7" s="9" t="s">
        <v>80</v>
      </c>
      <c r="F7" s="10">
        <v>1.75680192272677E-8</v>
      </c>
      <c r="G7" s="9">
        <v>3.5100902416080999E-6</v>
      </c>
      <c r="H7" s="9">
        <v>2.8108830763628402E-6</v>
      </c>
      <c r="I7" s="9" t="s">
        <v>81</v>
      </c>
    </row>
    <row r="8" spans="1:9">
      <c r="A8" s="9" t="s">
        <v>82</v>
      </c>
      <c r="B8" s="9" t="s">
        <v>82</v>
      </c>
      <c r="C8" s="9" t="s">
        <v>83</v>
      </c>
      <c r="D8" s="9" t="s">
        <v>65</v>
      </c>
      <c r="E8" s="9" t="s">
        <v>84</v>
      </c>
      <c r="F8" s="10">
        <v>2.7765824135246401E-8</v>
      </c>
      <c r="G8" s="9">
        <v>4.6230097185185302E-6</v>
      </c>
      <c r="H8" s="9">
        <v>3.7021098846995302E-6</v>
      </c>
      <c r="I8" s="9" t="s">
        <v>85</v>
      </c>
    </row>
    <row r="9" spans="1:9">
      <c r="A9" s="9" t="s">
        <v>86</v>
      </c>
      <c r="B9" s="9" t="s">
        <v>86</v>
      </c>
      <c r="C9" s="9" t="s">
        <v>87</v>
      </c>
      <c r="D9" s="9" t="s">
        <v>88</v>
      </c>
      <c r="E9" s="9" t="s">
        <v>89</v>
      </c>
      <c r="F9" s="10">
        <v>5.34632019039325E-8</v>
      </c>
      <c r="G9" s="9">
        <v>7.6299626717183699E-6</v>
      </c>
      <c r="H9" s="9">
        <v>6.1100802175922902E-6</v>
      </c>
      <c r="I9" s="9" t="s">
        <v>90</v>
      </c>
    </row>
    <row r="10" spans="1:9">
      <c r="A10" s="9" t="s">
        <v>91</v>
      </c>
      <c r="B10" s="9" t="s">
        <v>91</v>
      </c>
      <c r="C10" s="9" t="s">
        <v>92</v>
      </c>
      <c r="D10" s="9" t="s">
        <v>93</v>
      </c>
      <c r="E10" s="9" t="s">
        <v>94</v>
      </c>
      <c r="F10" s="10">
        <v>1.0405285079439901E-7</v>
      </c>
      <c r="G10" s="9">
        <v>1.20135125196347E-5</v>
      </c>
      <c r="H10" s="9">
        <v>9.6204304461539397E-6</v>
      </c>
      <c r="I10" s="9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10E84-3D23-F840-82E6-FD9403CE7CF9}">
  <dimension ref="A1:D24"/>
  <sheetViews>
    <sheetView tabSelected="1" workbookViewId="0">
      <selection activeCell="A8" sqref="A8"/>
    </sheetView>
  </sheetViews>
  <sheetFormatPr baseColWidth="10" defaultRowHeight="16"/>
  <cols>
    <col min="1" max="1" width="34.83203125" customWidth="1"/>
    <col min="2" max="2" width="11.33203125" style="15" customWidth="1"/>
    <col min="3" max="3" width="24.6640625" customWidth="1"/>
    <col min="4" max="4" width="86.83203125" customWidth="1"/>
  </cols>
  <sheetData>
    <row r="1" spans="1:4">
      <c r="A1" s="11" t="s">
        <v>133</v>
      </c>
      <c r="B1" s="13" t="s">
        <v>134</v>
      </c>
      <c r="C1" s="11" t="s">
        <v>135</v>
      </c>
      <c r="D1" s="11" t="s">
        <v>136</v>
      </c>
    </row>
    <row r="2" spans="1:4">
      <c r="A2" s="11" t="s">
        <v>15</v>
      </c>
      <c r="B2" s="14">
        <v>-0.94</v>
      </c>
      <c r="C2" s="12" t="s">
        <v>137</v>
      </c>
      <c r="D2" s="12" t="s">
        <v>138</v>
      </c>
    </row>
    <row r="3" spans="1:4">
      <c r="A3" s="11" t="s">
        <v>18</v>
      </c>
      <c r="B3" s="14">
        <v>-0.89</v>
      </c>
      <c r="C3" s="12" t="s">
        <v>139</v>
      </c>
      <c r="D3" s="12" t="s">
        <v>140</v>
      </c>
    </row>
    <row r="4" spans="1:4">
      <c r="A4" s="11" t="s">
        <v>141</v>
      </c>
      <c r="B4" s="14" t="s">
        <v>142</v>
      </c>
      <c r="C4" s="12" t="s">
        <v>137</v>
      </c>
      <c r="D4" s="12" t="s">
        <v>143</v>
      </c>
    </row>
    <row r="5" spans="1:4">
      <c r="A5" s="11" t="s">
        <v>144</v>
      </c>
      <c r="B5" s="14" t="s">
        <v>145</v>
      </c>
      <c r="C5" s="12" t="s">
        <v>146</v>
      </c>
      <c r="D5" s="12" t="s">
        <v>147</v>
      </c>
    </row>
    <row r="6" spans="1:4">
      <c r="A6" s="11" t="s">
        <v>148</v>
      </c>
      <c r="B6" s="14">
        <v>-3.37</v>
      </c>
      <c r="C6" s="12" t="s">
        <v>149</v>
      </c>
      <c r="D6" s="12" t="s">
        <v>150</v>
      </c>
    </row>
    <row r="7" spans="1:4">
      <c r="A7" s="11" t="s">
        <v>151</v>
      </c>
      <c r="B7" s="14" t="s">
        <v>152</v>
      </c>
      <c r="C7" s="12" t="s">
        <v>153</v>
      </c>
      <c r="D7" s="12" t="s">
        <v>154</v>
      </c>
    </row>
    <row r="8" spans="1:4">
      <c r="A8" s="11" t="s">
        <v>40</v>
      </c>
      <c r="B8" s="14">
        <v>-0.5</v>
      </c>
      <c r="C8" s="12" t="s">
        <v>137</v>
      </c>
      <c r="D8" s="12" t="s">
        <v>155</v>
      </c>
    </row>
    <row r="9" spans="1:4">
      <c r="A9" s="11" t="s">
        <v>156</v>
      </c>
      <c r="B9" s="14">
        <v>-0.88</v>
      </c>
      <c r="C9" s="12" t="s">
        <v>153</v>
      </c>
      <c r="D9" s="12" t="s">
        <v>157</v>
      </c>
    </row>
    <row r="10" spans="1:4">
      <c r="A10" s="11" t="s">
        <v>158</v>
      </c>
      <c r="B10" s="14" t="s">
        <v>159</v>
      </c>
      <c r="C10" s="12" t="s">
        <v>46</v>
      </c>
      <c r="D10" s="12" t="s">
        <v>160</v>
      </c>
    </row>
    <row r="11" spans="1:4">
      <c r="A11" s="11" t="s">
        <v>161</v>
      </c>
      <c r="B11" s="14">
        <f>-1.01 / -0.71</f>
        <v>1.4225352112676057</v>
      </c>
      <c r="C11" s="12" t="s">
        <v>153</v>
      </c>
      <c r="D11" s="12" t="s">
        <v>162</v>
      </c>
    </row>
    <row r="12" spans="1:4">
      <c r="A12" s="11" t="s">
        <v>11</v>
      </c>
      <c r="B12" s="14">
        <v>-1.01</v>
      </c>
      <c r="C12" s="12" t="s">
        <v>153</v>
      </c>
      <c r="D12" s="12" t="s">
        <v>163</v>
      </c>
    </row>
    <row r="13" spans="1:4">
      <c r="A13" s="11" t="s">
        <v>109</v>
      </c>
      <c r="B13" s="14">
        <v>-0.62</v>
      </c>
      <c r="C13" s="12" t="s">
        <v>164</v>
      </c>
      <c r="D13" s="12" t="s">
        <v>165</v>
      </c>
    </row>
    <row r="14" spans="1:4">
      <c r="A14" s="11" t="s">
        <v>104</v>
      </c>
      <c r="B14" s="14">
        <v>-0.69</v>
      </c>
      <c r="C14" s="12" t="s">
        <v>164</v>
      </c>
      <c r="D14" s="12" t="s">
        <v>166</v>
      </c>
    </row>
    <row r="16" spans="1:4">
      <c r="A16" s="11" t="s">
        <v>179</v>
      </c>
    </row>
    <row r="17" spans="1:3">
      <c r="A17" s="11" t="s">
        <v>133</v>
      </c>
      <c r="B17" s="11" t="s">
        <v>167</v>
      </c>
      <c r="C17" s="11" t="s">
        <v>168</v>
      </c>
    </row>
    <row r="18" spans="1:3">
      <c r="A18" s="11" t="s">
        <v>15</v>
      </c>
      <c r="B18" s="12" t="s">
        <v>46</v>
      </c>
      <c r="C18" s="12" t="s">
        <v>169</v>
      </c>
    </row>
    <row r="19" spans="1:3">
      <c r="A19" s="11" t="s">
        <v>18</v>
      </c>
      <c r="B19" s="12" t="s">
        <v>46</v>
      </c>
      <c r="C19" s="12" t="s">
        <v>170</v>
      </c>
    </row>
    <row r="20" spans="1:3">
      <c r="A20" s="11" t="s">
        <v>5</v>
      </c>
      <c r="B20" s="12" t="s">
        <v>164</v>
      </c>
      <c r="C20" s="12" t="s">
        <v>171</v>
      </c>
    </row>
    <row r="21" spans="1:3">
      <c r="A21" s="11" t="s">
        <v>109</v>
      </c>
      <c r="B21" s="12" t="s">
        <v>164</v>
      </c>
      <c r="C21" s="12" t="s">
        <v>172</v>
      </c>
    </row>
    <row r="22" spans="1:3">
      <c r="A22" s="11" t="s">
        <v>40</v>
      </c>
      <c r="B22" s="12" t="s">
        <v>46</v>
      </c>
      <c r="C22" s="12" t="s">
        <v>173</v>
      </c>
    </row>
    <row r="23" spans="1:3">
      <c r="A23" s="11" t="s">
        <v>151</v>
      </c>
      <c r="B23" s="12" t="s">
        <v>174</v>
      </c>
      <c r="C23" s="12" t="s">
        <v>175</v>
      </c>
    </row>
    <row r="24" spans="1:3">
      <c r="A24" s="11" t="s">
        <v>176</v>
      </c>
      <c r="B24" s="12" t="s">
        <v>177</v>
      </c>
      <c r="C24" s="12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6B04-0661-C143-87EE-0FD33DE46F06}">
  <dimension ref="A1:I43"/>
  <sheetViews>
    <sheetView workbookViewId="0">
      <selection sqref="A1:H42"/>
    </sheetView>
  </sheetViews>
  <sheetFormatPr baseColWidth="10" defaultRowHeight="16"/>
  <sheetData>
    <row r="1" spans="1:9">
      <c r="A1" t="s">
        <v>49</v>
      </c>
      <c r="E1" s="2" t="s">
        <v>0</v>
      </c>
      <c r="F1" s="2" t="s">
        <v>2</v>
      </c>
      <c r="G1" s="2" t="s">
        <v>4</v>
      </c>
      <c r="H1" s="5"/>
    </row>
    <row r="2" spans="1:9" ht="18">
      <c r="A2" s="7" t="s">
        <v>50</v>
      </c>
      <c r="E2" s="1" t="s">
        <v>1</v>
      </c>
      <c r="F2" s="1" t="s">
        <v>3</v>
      </c>
      <c r="G2" s="1" t="s">
        <v>3</v>
      </c>
      <c r="H2" s="5"/>
    </row>
    <row r="3" spans="1:9">
      <c r="E3" s="3">
        <v>1</v>
      </c>
      <c r="F3" s="3" t="s">
        <v>5</v>
      </c>
      <c r="G3" s="3">
        <v>-3.3655674000000002</v>
      </c>
      <c r="H3" s="4">
        <v>3.5793719999999999E-151</v>
      </c>
      <c r="I3" s="3"/>
    </row>
    <row r="4" spans="1:9">
      <c r="E4" s="3">
        <v>2</v>
      </c>
      <c r="F4" s="3" t="s">
        <v>96</v>
      </c>
      <c r="G4" s="3">
        <v>-1.3298325</v>
      </c>
      <c r="H4" s="4">
        <v>5.9896369999999998E-12</v>
      </c>
      <c r="I4" s="3"/>
    </row>
    <row r="5" spans="1:9">
      <c r="E5" s="3">
        <v>3</v>
      </c>
      <c r="F5" s="3" t="s">
        <v>97</v>
      </c>
      <c r="G5" s="3">
        <v>-1.2753033</v>
      </c>
      <c r="H5" s="4">
        <v>3.781331E-5</v>
      </c>
      <c r="I5" s="3"/>
    </row>
    <row r="6" spans="1:9">
      <c r="E6" s="3">
        <v>4</v>
      </c>
      <c r="F6" s="3" t="s">
        <v>98</v>
      </c>
      <c r="G6" s="3">
        <v>-1.1960826</v>
      </c>
      <c r="H6" s="4">
        <v>1.6542099999999999E-8</v>
      </c>
      <c r="I6" s="3"/>
    </row>
    <row r="7" spans="1:9">
      <c r="E7" s="3">
        <v>5</v>
      </c>
      <c r="F7" s="3" t="s">
        <v>99</v>
      </c>
      <c r="G7" s="3">
        <v>-1.1050021000000001</v>
      </c>
      <c r="H7" s="4">
        <v>7.1980560000000002E-6</v>
      </c>
      <c r="I7" s="3"/>
    </row>
    <row r="8" spans="1:9">
      <c r="E8" s="3">
        <v>6</v>
      </c>
      <c r="F8" s="3" t="s">
        <v>14</v>
      </c>
      <c r="G8" s="3">
        <v>-0.95396429999999999</v>
      </c>
      <c r="H8" s="4">
        <v>2.2795369999999999E-3</v>
      </c>
      <c r="I8" s="3"/>
    </row>
    <row r="9" spans="1:9">
      <c r="E9" s="3">
        <v>7</v>
      </c>
      <c r="F9" s="3" t="s">
        <v>15</v>
      </c>
      <c r="G9" s="3">
        <v>-0.94377489999999997</v>
      </c>
      <c r="H9" s="4">
        <v>4.2273519999999999E-43</v>
      </c>
      <c r="I9" s="3"/>
    </row>
    <row r="10" spans="1:9">
      <c r="E10" s="3">
        <v>8</v>
      </c>
      <c r="F10" s="3" t="s">
        <v>100</v>
      </c>
      <c r="G10" s="3">
        <v>-0.85380480000000003</v>
      </c>
      <c r="H10" s="4">
        <v>7.5088909999999995E-4</v>
      </c>
      <c r="I10" s="3"/>
    </row>
    <row r="11" spans="1:9">
      <c r="E11" s="3">
        <v>9</v>
      </c>
      <c r="F11" s="3" t="s">
        <v>101</v>
      </c>
      <c r="G11" s="3">
        <v>-0.85173540000000003</v>
      </c>
      <c r="H11" s="4">
        <v>2.3560839999999999E-5</v>
      </c>
      <c r="I11" s="3"/>
    </row>
    <row r="12" spans="1:9">
      <c r="E12" s="3">
        <v>10</v>
      </c>
      <c r="F12" s="3" t="s">
        <v>102</v>
      </c>
      <c r="G12" s="3">
        <v>-0.74790190000000001</v>
      </c>
      <c r="H12" s="4">
        <v>2.8672849999999998E-17</v>
      </c>
      <c r="I12" s="3"/>
    </row>
    <row r="13" spans="1:9">
      <c r="E13" s="3">
        <v>11</v>
      </c>
      <c r="F13" s="3" t="s">
        <v>103</v>
      </c>
      <c r="G13" s="3">
        <v>-0.73291360000000005</v>
      </c>
      <c r="H13" s="4">
        <v>2.9058230000000001E-23</v>
      </c>
      <c r="I13" s="3"/>
    </row>
    <row r="14" spans="1:9">
      <c r="E14" s="3">
        <v>12</v>
      </c>
      <c r="F14" s="3" t="s">
        <v>26</v>
      </c>
      <c r="G14" s="3">
        <v>-0.7002372</v>
      </c>
      <c r="H14" s="4">
        <v>3.5446730000000001E-31</v>
      </c>
      <c r="I14" s="3"/>
    </row>
    <row r="15" spans="1:9">
      <c r="E15" s="3">
        <v>13</v>
      </c>
      <c r="F15" s="3" t="s">
        <v>104</v>
      </c>
      <c r="G15" s="3">
        <v>-0.69738199999999995</v>
      </c>
      <c r="H15" s="4">
        <v>1.1512349999999999E-2</v>
      </c>
      <c r="I15" s="3"/>
    </row>
    <row r="16" spans="1:9">
      <c r="E16" s="3">
        <v>14</v>
      </c>
      <c r="F16" s="3" t="s">
        <v>28</v>
      </c>
      <c r="G16" s="3">
        <v>-0.6596244</v>
      </c>
      <c r="H16" s="4">
        <v>4.1629179999999998E-28</v>
      </c>
      <c r="I16" s="3"/>
    </row>
    <row r="17" spans="5:9">
      <c r="E17" s="3">
        <v>15</v>
      </c>
      <c r="F17" s="3" t="s">
        <v>30</v>
      </c>
      <c r="G17" s="3">
        <v>-0.65542699999999998</v>
      </c>
      <c r="H17" s="4">
        <v>8.9842169999999997E-18</v>
      </c>
      <c r="I17" s="3"/>
    </row>
    <row r="18" spans="5:9">
      <c r="E18" s="3">
        <v>16</v>
      </c>
      <c r="F18" s="3" t="s">
        <v>105</v>
      </c>
      <c r="G18" s="3">
        <v>-0.64904019999999996</v>
      </c>
      <c r="H18" s="4">
        <v>1.500102E-2</v>
      </c>
      <c r="I18" s="3"/>
    </row>
    <row r="19" spans="5:9">
      <c r="E19" s="3">
        <v>17</v>
      </c>
      <c r="F19" s="3" t="s">
        <v>106</v>
      </c>
      <c r="G19" s="3">
        <v>-0.64769710000000003</v>
      </c>
      <c r="H19" s="4">
        <v>9.3194589999999994E-12</v>
      </c>
      <c r="I19" s="3"/>
    </row>
    <row r="20" spans="5:9">
      <c r="E20" s="3">
        <v>18</v>
      </c>
      <c r="F20" s="3" t="s">
        <v>107</v>
      </c>
      <c r="G20" s="3">
        <v>-0.64497709999999997</v>
      </c>
      <c r="H20" s="4">
        <v>1.1024620000000001E-5</v>
      </c>
      <c r="I20" s="3"/>
    </row>
    <row r="21" spans="5:9">
      <c r="E21" s="3">
        <v>19</v>
      </c>
      <c r="F21" s="3" t="s">
        <v>108</v>
      </c>
      <c r="G21" s="3">
        <v>-0.62907489999999999</v>
      </c>
      <c r="H21" s="4">
        <v>4.7712870000000002E-4</v>
      </c>
      <c r="I21" s="3"/>
    </row>
    <row r="22" spans="5:9">
      <c r="E22" s="3">
        <v>20</v>
      </c>
      <c r="F22" s="3" t="s">
        <v>109</v>
      </c>
      <c r="G22" s="3">
        <v>-0.6178148</v>
      </c>
      <c r="H22" s="4">
        <v>4.1531700000000001E-8</v>
      </c>
      <c r="I22" s="3"/>
    </row>
    <row r="23" spans="5:9">
      <c r="E23" s="3">
        <v>21</v>
      </c>
      <c r="F23" s="3" t="s">
        <v>110</v>
      </c>
      <c r="G23" s="3">
        <v>-0.58571119999999999</v>
      </c>
      <c r="H23" s="4">
        <v>9.4339319999999999E-12</v>
      </c>
      <c r="I23" s="3"/>
    </row>
    <row r="24" spans="5:9">
      <c r="E24" s="3">
        <v>22</v>
      </c>
      <c r="F24" s="3" t="s">
        <v>111</v>
      </c>
      <c r="G24" s="3">
        <v>-0.54984120000000003</v>
      </c>
      <c r="H24" s="4">
        <v>5.502517E-4</v>
      </c>
      <c r="I24" s="3"/>
    </row>
    <row r="25" spans="5:9">
      <c r="E25" s="3">
        <v>23</v>
      </c>
      <c r="F25" s="3" t="s">
        <v>112</v>
      </c>
      <c r="G25" s="3">
        <v>-0.54417649999999995</v>
      </c>
      <c r="H25" s="4">
        <v>1.3567270000000001E-4</v>
      </c>
      <c r="I25" s="3"/>
    </row>
    <row r="26" spans="5:9">
      <c r="E26" s="3">
        <v>24</v>
      </c>
      <c r="F26" s="3" t="s">
        <v>113</v>
      </c>
      <c r="G26" s="3">
        <v>-0.52728609999999998</v>
      </c>
      <c r="H26" s="4">
        <v>8.4024059999999994E-3</v>
      </c>
      <c r="I26" s="3"/>
    </row>
    <row r="27" spans="5:9">
      <c r="E27" s="3">
        <v>25</v>
      </c>
      <c r="F27" s="3" t="s">
        <v>37</v>
      </c>
      <c r="G27" s="3">
        <v>-0.51769080000000001</v>
      </c>
      <c r="H27" s="4">
        <v>1.6497190000000001E-7</v>
      </c>
      <c r="I27" s="3"/>
    </row>
    <row r="28" spans="5:9">
      <c r="E28" s="3">
        <v>26</v>
      </c>
      <c r="F28" s="3" t="s">
        <v>38</v>
      </c>
      <c r="G28" s="3">
        <v>-0.50471319999999997</v>
      </c>
      <c r="H28" s="4">
        <v>2.9797389999999998E-23</v>
      </c>
      <c r="I28" s="3"/>
    </row>
    <row r="29" spans="5:9">
      <c r="E29" s="3">
        <v>27</v>
      </c>
      <c r="F29" s="3" t="s">
        <v>40</v>
      </c>
      <c r="G29" s="3">
        <v>-0.49586479999999999</v>
      </c>
      <c r="H29" s="4">
        <v>3.1209849999999997E-4</v>
      </c>
      <c r="I29" s="3"/>
    </row>
    <row r="30" spans="5:9">
      <c r="E30" s="3">
        <v>28</v>
      </c>
      <c r="F30" s="3" t="s">
        <v>41</v>
      </c>
      <c r="G30" s="3">
        <v>-0.49478889999999998</v>
      </c>
      <c r="H30" s="4">
        <v>1.2283900000000001E-26</v>
      </c>
      <c r="I30" s="3"/>
    </row>
    <row r="31" spans="5:9">
      <c r="E31" s="3">
        <v>29</v>
      </c>
      <c r="F31" s="3" t="s">
        <v>114</v>
      </c>
      <c r="G31" s="3">
        <v>-0.49040669999999997</v>
      </c>
      <c r="H31" s="4">
        <v>1.7308380000000001E-7</v>
      </c>
      <c r="I31" s="3"/>
    </row>
    <row r="32" spans="5:9">
      <c r="E32" s="3">
        <v>30</v>
      </c>
      <c r="F32" s="3" t="s">
        <v>115</v>
      </c>
      <c r="G32" s="3">
        <v>-0.49005650000000001</v>
      </c>
      <c r="H32" s="4">
        <v>1.115274E-2</v>
      </c>
      <c r="I32" s="3"/>
    </row>
    <row r="33" spans="5:9">
      <c r="E33" s="3">
        <v>31</v>
      </c>
      <c r="F33" s="3" t="s">
        <v>116</v>
      </c>
      <c r="G33" s="3">
        <v>-0.47637750000000001</v>
      </c>
      <c r="H33" s="4">
        <v>4.1526449999999999E-2</v>
      </c>
      <c r="I33" s="3"/>
    </row>
    <row r="34" spans="5:9">
      <c r="E34" s="3">
        <v>32</v>
      </c>
      <c r="F34" s="3" t="s">
        <v>117</v>
      </c>
      <c r="G34" s="3">
        <v>-0.46691719999999998</v>
      </c>
      <c r="H34" s="4">
        <v>4.8171100000000001E-2</v>
      </c>
      <c r="I34" s="3"/>
    </row>
    <row r="35" spans="5:9">
      <c r="E35" s="3">
        <v>33</v>
      </c>
      <c r="F35" s="3" t="s">
        <v>118</v>
      </c>
      <c r="G35" s="3">
        <v>-0.4666399</v>
      </c>
      <c r="H35" s="4">
        <v>1.3001190000000001E-4</v>
      </c>
      <c r="I35" s="3"/>
    </row>
    <row r="36" spans="5:9">
      <c r="E36" s="3">
        <v>34</v>
      </c>
      <c r="F36" s="3" t="s">
        <v>119</v>
      </c>
      <c r="G36" s="3">
        <v>-0.45470650000000001</v>
      </c>
      <c r="H36" s="4">
        <v>1.1234819999999999E-21</v>
      </c>
      <c r="I36" s="3"/>
    </row>
    <row r="37" spans="5:9">
      <c r="E37" s="3">
        <v>35</v>
      </c>
      <c r="F37" s="3" t="s">
        <v>120</v>
      </c>
      <c r="G37" s="3">
        <v>-0.45468500000000001</v>
      </c>
      <c r="H37" s="4">
        <v>4.1135720000000001E-2</v>
      </c>
      <c r="I37" s="3"/>
    </row>
    <row r="38" spans="5:9">
      <c r="E38" s="3">
        <v>36</v>
      </c>
      <c r="F38" s="3" t="s">
        <v>121</v>
      </c>
      <c r="G38" s="3">
        <v>-0.4476791</v>
      </c>
      <c r="H38" s="4">
        <v>9.1788709999999999E-3</v>
      </c>
      <c r="I38" s="3"/>
    </row>
    <row r="39" spans="5:9">
      <c r="E39" s="3">
        <v>37</v>
      </c>
      <c r="F39" s="3" t="s">
        <v>122</v>
      </c>
      <c r="G39" s="3">
        <v>-0.44744440000000002</v>
      </c>
      <c r="H39" s="4">
        <v>4.6421059999999999E-4</v>
      </c>
      <c r="I39" s="3"/>
    </row>
    <row r="40" spans="5:9">
      <c r="E40" s="3">
        <v>38</v>
      </c>
      <c r="F40" s="3" t="s">
        <v>123</v>
      </c>
      <c r="G40" s="3">
        <v>-0.43734060000000002</v>
      </c>
      <c r="H40" s="4">
        <v>3.709912E-5</v>
      </c>
      <c r="I40" s="3"/>
    </row>
    <row r="41" spans="5:9">
      <c r="E41" s="3">
        <v>39</v>
      </c>
      <c r="F41" s="3" t="s">
        <v>124</v>
      </c>
      <c r="G41" s="3">
        <v>-0.42929329999999999</v>
      </c>
      <c r="H41" s="4">
        <v>5.4948769999999996E-3</v>
      </c>
      <c r="I41" s="3"/>
    </row>
    <row r="42" spans="5:9">
      <c r="E42" s="3">
        <v>40</v>
      </c>
      <c r="F42" s="3" t="s">
        <v>125</v>
      </c>
      <c r="G42" s="3">
        <v>-0.42379050000000001</v>
      </c>
      <c r="H42" s="4">
        <v>4.8517699999999999E-4</v>
      </c>
      <c r="I42" s="3"/>
    </row>
    <row r="43" spans="5:9">
      <c r="E43" s="6" t="s">
        <v>45</v>
      </c>
    </row>
  </sheetData>
  <mergeCells count="1">
    <mergeCell ref="H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D061-81DE-B645-B2D8-55BB0723CECE}">
  <dimension ref="A1:G43"/>
  <sheetViews>
    <sheetView zoomScale="110" workbookViewId="0">
      <selection sqref="A1:G41"/>
    </sheetView>
  </sheetViews>
  <sheetFormatPr baseColWidth="10" defaultRowHeight="16"/>
  <sheetData>
    <row r="1" spans="1:7">
      <c r="A1" t="s">
        <v>48</v>
      </c>
      <c r="E1" s="2" t="s">
        <v>0</v>
      </c>
      <c r="F1" s="2" t="s">
        <v>2</v>
      </c>
      <c r="G1" s="2" t="s">
        <v>4</v>
      </c>
    </row>
    <row r="2" spans="1:7">
      <c r="A2" t="s">
        <v>47</v>
      </c>
      <c r="E2" s="1" t="s">
        <v>1</v>
      </c>
      <c r="F2" s="1" t="s">
        <v>3</v>
      </c>
      <c r="G2" s="1" t="s">
        <v>3</v>
      </c>
    </row>
    <row r="3" spans="1:7">
      <c r="D3" s="3">
        <v>1</v>
      </c>
      <c r="E3" s="3" t="s">
        <v>5</v>
      </c>
      <c r="F3" s="3">
        <v>-3.3655674000000002</v>
      </c>
      <c r="G3" s="4">
        <v>3.5793719999999999E-151</v>
      </c>
    </row>
    <row r="4" spans="1:7">
      <c r="D4" s="3">
        <v>2</v>
      </c>
      <c r="E4" s="3" t="s">
        <v>6</v>
      </c>
      <c r="F4" s="3">
        <v>-2.1080046000000001</v>
      </c>
      <c r="G4" s="4">
        <v>4.4597709999999997E-9</v>
      </c>
    </row>
    <row r="5" spans="1:7">
      <c r="D5" s="3">
        <v>3</v>
      </c>
      <c r="E5" s="3" t="s">
        <v>7</v>
      </c>
      <c r="F5" s="3">
        <v>-1.2784648999999999</v>
      </c>
      <c r="G5" s="4">
        <v>9.8360370000000007E-31</v>
      </c>
    </row>
    <row r="6" spans="1:7">
      <c r="D6" s="3">
        <v>4</v>
      </c>
      <c r="E6" s="3" t="s">
        <v>8</v>
      </c>
      <c r="F6" s="3">
        <v>-1.2423055999999999</v>
      </c>
      <c r="G6" s="4">
        <v>2.7908699999999999E-8</v>
      </c>
    </row>
    <row r="7" spans="1:7">
      <c r="D7" s="3">
        <v>5</v>
      </c>
      <c r="E7" s="3" t="s">
        <v>9</v>
      </c>
      <c r="F7" s="3">
        <v>-1.1928614</v>
      </c>
      <c r="G7" s="4">
        <v>1.835541E-14</v>
      </c>
    </row>
    <row r="8" spans="1:7">
      <c r="D8" s="3">
        <v>6</v>
      </c>
      <c r="E8" s="3" t="s">
        <v>10</v>
      </c>
      <c r="F8" s="3">
        <v>-1.0514327000000001</v>
      </c>
      <c r="G8" s="4">
        <v>2.2365969999999999E-12</v>
      </c>
    </row>
    <row r="9" spans="1:7">
      <c r="D9" s="3">
        <v>7</v>
      </c>
      <c r="E9" s="3" t="s">
        <v>11</v>
      </c>
      <c r="F9" s="3">
        <v>-1.0086561000000001</v>
      </c>
      <c r="G9" s="4">
        <v>1.346079E-8</v>
      </c>
    </row>
    <row r="10" spans="1:7">
      <c r="D10" s="3">
        <v>8</v>
      </c>
      <c r="E10" s="3" t="s">
        <v>12</v>
      </c>
      <c r="F10" s="3">
        <v>-1.0055862</v>
      </c>
      <c r="G10" s="4">
        <v>4.3835530000000001E-18</v>
      </c>
    </row>
    <row r="11" spans="1:7">
      <c r="D11" s="3">
        <v>9</v>
      </c>
      <c r="E11" s="3" t="s">
        <v>13</v>
      </c>
      <c r="F11" s="3">
        <v>-1.0054959000000001</v>
      </c>
      <c r="G11" s="4">
        <v>1.498326E-5</v>
      </c>
    </row>
    <row r="12" spans="1:7">
      <c r="D12" s="3">
        <v>10</v>
      </c>
      <c r="E12" s="3" t="s">
        <v>14</v>
      </c>
      <c r="F12" s="3">
        <v>-0.95396429999999999</v>
      </c>
      <c r="G12" s="4">
        <v>2.2795369999999999E-3</v>
      </c>
    </row>
    <row r="13" spans="1:7">
      <c r="D13" s="3">
        <v>11</v>
      </c>
      <c r="E13" s="3" t="s">
        <v>15</v>
      </c>
      <c r="F13" s="3">
        <v>-0.94377489999999997</v>
      </c>
      <c r="G13" s="4">
        <v>4.2273519999999999E-43</v>
      </c>
    </row>
    <row r="14" spans="1:7">
      <c r="D14" s="3">
        <v>12</v>
      </c>
      <c r="E14" s="3" t="s">
        <v>16</v>
      </c>
      <c r="F14" s="3">
        <v>-0.933056</v>
      </c>
      <c r="G14" s="4">
        <v>6.2882339999999995E-5</v>
      </c>
    </row>
    <row r="15" spans="1:7">
      <c r="D15" s="3">
        <v>13</v>
      </c>
      <c r="E15" s="3" t="s">
        <v>17</v>
      </c>
      <c r="F15" s="3">
        <v>-0.89676460000000002</v>
      </c>
      <c r="G15" s="4">
        <v>4.6739660000000003E-14</v>
      </c>
    </row>
    <row r="16" spans="1:7">
      <c r="D16" s="3">
        <v>14</v>
      </c>
      <c r="E16" s="3" t="s">
        <v>18</v>
      </c>
      <c r="F16" s="3">
        <v>-0.88600730000000005</v>
      </c>
      <c r="G16" s="4">
        <v>1.466553E-6</v>
      </c>
    </row>
    <row r="17" spans="4:7">
      <c r="D17" s="3">
        <v>15</v>
      </c>
      <c r="E17" s="3" t="s">
        <v>19</v>
      </c>
      <c r="F17" s="3">
        <v>-0.88408439999999999</v>
      </c>
      <c r="G17" s="4">
        <v>2.2205380000000001E-23</v>
      </c>
    </row>
    <row r="18" spans="4:7">
      <c r="D18" s="3">
        <v>16</v>
      </c>
      <c r="E18" s="3" t="s">
        <v>20</v>
      </c>
      <c r="F18" s="3">
        <v>-0.84666439999999998</v>
      </c>
      <c r="G18" s="4">
        <v>3.145739E-8</v>
      </c>
    </row>
    <row r="19" spans="4:7">
      <c r="D19" s="3">
        <v>17</v>
      </c>
      <c r="E19" s="3" t="s">
        <v>21</v>
      </c>
      <c r="F19" s="3">
        <v>-0.83425550000000004</v>
      </c>
      <c r="G19" s="4">
        <v>1.024996E-9</v>
      </c>
    </row>
    <row r="20" spans="4:7">
      <c r="D20" s="3">
        <v>18</v>
      </c>
      <c r="E20" s="3" t="s">
        <v>22</v>
      </c>
      <c r="F20" s="3">
        <v>-0.75924700000000001</v>
      </c>
      <c r="G20" s="4">
        <v>7.2776289999999997E-10</v>
      </c>
    </row>
    <row r="21" spans="4:7">
      <c r="D21" s="3">
        <v>19</v>
      </c>
      <c r="E21" s="3" t="s">
        <v>23</v>
      </c>
      <c r="F21" s="3">
        <v>-0.72984420000000005</v>
      </c>
      <c r="G21" s="4">
        <v>2.132577E-9</v>
      </c>
    </row>
    <row r="22" spans="4:7">
      <c r="D22" s="3">
        <v>20</v>
      </c>
      <c r="E22" s="3" t="s">
        <v>24</v>
      </c>
      <c r="F22" s="3">
        <v>-0.7147867</v>
      </c>
      <c r="G22" s="4">
        <v>2.064696E-8</v>
      </c>
    </row>
    <row r="23" spans="4:7">
      <c r="D23" s="3">
        <v>21</v>
      </c>
      <c r="E23" s="3" t="s">
        <v>25</v>
      </c>
      <c r="F23" s="3">
        <v>-0.70700200000000002</v>
      </c>
      <c r="G23" s="4">
        <v>2.590672E-10</v>
      </c>
    </row>
    <row r="24" spans="4:7">
      <c r="D24" s="3">
        <v>22</v>
      </c>
      <c r="E24" s="3" t="s">
        <v>26</v>
      </c>
      <c r="F24" s="3">
        <v>-0.7002372</v>
      </c>
      <c r="G24" s="4">
        <v>3.5446730000000001E-31</v>
      </c>
    </row>
    <row r="25" spans="4:7">
      <c r="D25" s="3">
        <v>23</v>
      </c>
      <c r="E25" s="3" t="s">
        <v>27</v>
      </c>
      <c r="F25" s="3">
        <v>-0.6599604</v>
      </c>
      <c r="G25" s="4">
        <v>5.2587589999999997E-15</v>
      </c>
    </row>
    <row r="26" spans="4:7">
      <c r="D26" s="3">
        <v>24</v>
      </c>
      <c r="E26" s="3" t="s">
        <v>28</v>
      </c>
      <c r="F26" s="3">
        <v>-0.6596244</v>
      </c>
      <c r="G26" s="4">
        <v>4.1629179999999998E-28</v>
      </c>
    </row>
    <row r="27" spans="4:7">
      <c r="D27" s="3">
        <v>25</v>
      </c>
      <c r="E27" s="3" t="s">
        <v>29</v>
      </c>
      <c r="F27" s="3">
        <v>-0.65860039999999997</v>
      </c>
      <c r="G27" s="4">
        <v>8.1769370000000004E-3</v>
      </c>
    </row>
    <row r="28" spans="4:7">
      <c r="D28" s="3">
        <v>26</v>
      </c>
      <c r="E28" s="3" t="s">
        <v>30</v>
      </c>
      <c r="F28" s="3">
        <v>-0.65542699999999998</v>
      </c>
      <c r="G28" s="4">
        <v>8.9842169999999997E-18</v>
      </c>
    </row>
    <row r="29" spans="4:7">
      <c r="D29" s="3">
        <v>27</v>
      </c>
      <c r="E29" s="3" t="s">
        <v>31</v>
      </c>
      <c r="F29" s="3">
        <v>-0.56755100000000003</v>
      </c>
      <c r="G29" s="4">
        <v>7.34603E-7</v>
      </c>
    </row>
    <row r="30" spans="4:7">
      <c r="D30" s="3">
        <v>28</v>
      </c>
      <c r="E30" s="3" t="s">
        <v>32</v>
      </c>
      <c r="F30" s="3">
        <v>-0.56366499999999997</v>
      </c>
      <c r="G30" s="4">
        <v>1.0398779999999999E-4</v>
      </c>
    </row>
    <row r="31" spans="4:7">
      <c r="D31" s="3">
        <v>29</v>
      </c>
      <c r="E31" s="3" t="s">
        <v>33</v>
      </c>
      <c r="F31" s="3">
        <v>-0.55452959999999996</v>
      </c>
      <c r="G31" s="4">
        <v>2.5126110000000001E-7</v>
      </c>
    </row>
    <row r="32" spans="4:7">
      <c r="D32" s="3">
        <v>30</v>
      </c>
      <c r="E32" s="3" t="s">
        <v>34</v>
      </c>
      <c r="F32" s="3">
        <v>-0.55267569999999999</v>
      </c>
      <c r="G32" s="4">
        <v>2.5709889999999999E-6</v>
      </c>
    </row>
    <row r="33" spans="2:7">
      <c r="D33" s="3">
        <v>31</v>
      </c>
      <c r="E33" s="3" t="s">
        <v>35</v>
      </c>
      <c r="F33" s="3">
        <v>-0.55086900000000005</v>
      </c>
      <c r="G33" s="4">
        <v>2.2882599999999999E-2</v>
      </c>
    </row>
    <row r="34" spans="2:7">
      <c r="D34" s="3">
        <v>32</v>
      </c>
      <c r="E34" s="3" t="s">
        <v>36</v>
      </c>
      <c r="F34" s="3">
        <v>-0.55041870000000004</v>
      </c>
      <c r="G34" s="4">
        <v>1.399973E-16</v>
      </c>
    </row>
    <row r="35" spans="2:7">
      <c r="D35" s="3">
        <v>33</v>
      </c>
      <c r="E35" s="3" t="s">
        <v>37</v>
      </c>
      <c r="F35" s="3">
        <v>-0.51769080000000001</v>
      </c>
      <c r="G35" s="4">
        <v>1.6497190000000001E-7</v>
      </c>
    </row>
    <row r="36" spans="2:7">
      <c r="D36" s="3">
        <v>34</v>
      </c>
      <c r="E36" s="3" t="s">
        <v>38</v>
      </c>
      <c r="F36" s="3">
        <v>-0.50471319999999997</v>
      </c>
      <c r="G36" s="4">
        <v>2.9797389999999998E-23</v>
      </c>
    </row>
    <row r="37" spans="2:7">
      <c r="D37" s="3">
        <v>35</v>
      </c>
      <c r="E37" s="3" t="s">
        <v>39</v>
      </c>
      <c r="F37" s="3">
        <v>-0.50393319999999997</v>
      </c>
      <c r="G37" s="4">
        <v>6.0086640000000004E-3</v>
      </c>
    </row>
    <row r="38" spans="2:7">
      <c r="D38" s="3">
        <v>36</v>
      </c>
      <c r="E38" s="3" t="s">
        <v>40</v>
      </c>
      <c r="F38" s="3">
        <v>-0.49586479999999999</v>
      </c>
      <c r="G38" s="4">
        <v>3.1209849999999997E-4</v>
      </c>
    </row>
    <row r="39" spans="2:7">
      <c r="D39" s="3">
        <v>37</v>
      </c>
      <c r="E39" s="3" t="s">
        <v>41</v>
      </c>
      <c r="F39" s="3">
        <v>-0.49478889999999998</v>
      </c>
      <c r="G39" s="4">
        <v>1.2283900000000001E-26</v>
      </c>
    </row>
    <row r="40" spans="2:7">
      <c r="D40" s="3">
        <v>38</v>
      </c>
      <c r="E40" s="3" t="s">
        <v>42</v>
      </c>
      <c r="F40" s="3">
        <v>-0.4733059</v>
      </c>
      <c r="G40" s="4">
        <v>2.694423E-6</v>
      </c>
    </row>
    <row r="41" spans="2:7">
      <c r="D41" s="3">
        <v>39</v>
      </c>
      <c r="E41" s="3" t="s">
        <v>43</v>
      </c>
      <c r="F41" s="3">
        <v>-0.46359299999999998</v>
      </c>
      <c r="G41" s="4">
        <v>1.967253E-3</v>
      </c>
    </row>
    <row r="42" spans="2:7">
      <c r="D42" s="3">
        <v>40</v>
      </c>
      <c r="E42" s="3" t="s">
        <v>44</v>
      </c>
      <c r="F42" s="3">
        <v>-0.45866649999999998</v>
      </c>
      <c r="G42" s="4">
        <v>2.818584E-2</v>
      </c>
    </row>
    <row r="43" spans="2:7">
      <c r="B43" s="6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AC53-98AC-5849-8FC4-620EA7AA520A}">
  <dimension ref="A1:H21"/>
  <sheetViews>
    <sheetView workbookViewId="0">
      <selection sqref="A1:G21"/>
    </sheetView>
  </sheetViews>
  <sheetFormatPr baseColWidth="10" defaultRowHeight="16"/>
  <sheetData>
    <row r="1" spans="1:8">
      <c r="A1" t="s">
        <v>126</v>
      </c>
    </row>
    <row r="2" spans="1:8" ht="18">
      <c r="A2" s="7" t="s">
        <v>63</v>
      </c>
      <c r="D2" s="2" t="s">
        <v>0</v>
      </c>
      <c r="E2" s="2" t="s">
        <v>2</v>
      </c>
      <c r="F2" s="2" t="s">
        <v>4</v>
      </c>
      <c r="G2" s="5"/>
    </row>
    <row r="3" spans="1:8">
      <c r="D3" s="1" t="s">
        <v>1</v>
      </c>
      <c r="E3" s="1" t="s">
        <v>3</v>
      </c>
      <c r="F3" s="1" t="s">
        <v>3</v>
      </c>
      <c r="G3" s="5"/>
    </row>
    <row r="4" spans="1:8">
      <c r="D4" s="3">
        <v>1</v>
      </c>
      <c r="E4" s="3" t="s">
        <v>11</v>
      </c>
      <c r="F4" s="3">
        <v>-1.0086561000000001</v>
      </c>
      <c r="G4" s="4">
        <v>1.346079E-8</v>
      </c>
      <c r="H4" s="3"/>
    </row>
    <row r="5" spans="1:8">
      <c r="D5" s="3">
        <v>2</v>
      </c>
      <c r="E5" s="3" t="s">
        <v>12</v>
      </c>
      <c r="F5" s="3">
        <v>-1.0055862</v>
      </c>
      <c r="G5" s="4">
        <v>4.3835530000000001E-18</v>
      </c>
      <c r="H5" s="3"/>
    </row>
    <row r="6" spans="1:8">
      <c r="D6" s="3">
        <v>3</v>
      </c>
      <c r="E6" s="3" t="s">
        <v>13</v>
      </c>
      <c r="F6" s="3">
        <v>-1.0054959000000001</v>
      </c>
      <c r="G6" s="4">
        <v>1.498326E-5</v>
      </c>
      <c r="H6" s="3"/>
    </row>
    <row r="7" spans="1:8">
      <c r="D7" s="3">
        <v>4</v>
      </c>
      <c r="E7" s="3" t="s">
        <v>15</v>
      </c>
      <c r="F7" s="3">
        <v>-0.94377489999999997</v>
      </c>
      <c r="G7" s="4">
        <v>4.2273519999999999E-43</v>
      </c>
      <c r="H7" s="3"/>
    </row>
    <row r="8" spans="1:8">
      <c r="D8" s="3">
        <v>5</v>
      </c>
      <c r="E8" s="3" t="s">
        <v>18</v>
      </c>
      <c r="F8" s="3">
        <v>-0.88600730000000005</v>
      </c>
      <c r="G8" s="4">
        <v>1.466553E-6</v>
      </c>
      <c r="H8" s="3"/>
    </row>
    <row r="9" spans="1:8">
      <c r="D9" s="3">
        <v>6</v>
      </c>
      <c r="E9" s="3" t="s">
        <v>19</v>
      </c>
      <c r="F9" s="3">
        <v>-0.88408439999999999</v>
      </c>
      <c r="G9" s="4">
        <v>2.2205380000000001E-23</v>
      </c>
      <c r="H9" s="3"/>
    </row>
    <row r="10" spans="1:8">
      <c r="D10" s="3">
        <v>7</v>
      </c>
      <c r="E10" s="3" t="s">
        <v>25</v>
      </c>
      <c r="F10" s="3">
        <v>-0.70700200000000002</v>
      </c>
      <c r="G10" s="4">
        <v>2.590672E-10</v>
      </c>
      <c r="H10" s="3"/>
    </row>
    <row r="11" spans="1:8">
      <c r="D11" s="3">
        <v>8</v>
      </c>
      <c r="E11" s="3" t="s">
        <v>31</v>
      </c>
      <c r="F11" s="3">
        <v>-0.56755100000000003</v>
      </c>
      <c r="G11" s="4">
        <v>7.34603E-7</v>
      </c>
      <c r="H11" s="3"/>
    </row>
    <row r="12" spans="1:8">
      <c r="D12" s="3">
        <v>9</v>
      </c>
      <c r="E12" s="3" t="s">
        <v>34</v>
      </c>
      <c r="F12" s="3">
        <v>-0.55267569999999999</v>
      </c>
      <c r="G12" s="4">
        <v>2.5709889999999999E-6</v>
      </c>
      <c r="H12" s="3"/>
    </row>
    <row r="13" spans="1:8">
      <c r="D13" s="3">
        <v>10</v>
      </c>
      <c r="E13" s="3" t="s">
        <v>36</v>
      </c>
      <c r="F13" s="3">
        <v>-0.55041870000000004</v>
      </c>
      <c r="G13" s="4">
        <v>1.399973E-16</v>
      </c>
      <c r="H13" s="3"/>
    </row>
    <row r="14" spans="1:8">
      <c r="D14" s="3">
        <v>11</v>
      </c>
      <c r="E14" s="3" t="s">
        <v>37</v>
      </c>
      <c r="F14" s="3">
        <v>-0.51769080000000001</v>
      </c>
      <c r="G14" s="4">
        <v>1.6497190000000001E-7</v>
      </c>
      <c r="H14" s="3"/>
    </row>
    <row r="15" spans="1:8">
      <c r="D15" s="3">
        <v>12</v>
      </c>
      <c r="E15" s="3" t="s">
        <v>40</v>
      </c>
      <c r="F15" s="3">
        <v>-0.49586479999999999</v>
      </c>
      <c r="G15" s="4">
        <v>3.1209849999999997E-4</v>
      </c>
      <c r="H15" s="3"/>
    </row>
    <row r="16" spans="1:8">
      <c r="D16" s="3">
        <v>13</v>
      </c>
      <c r="E16" s="3" t="s">
        <v>127</v>
      </c>
      <c r="F16" s="3">
        <v>-0.40673969999999998</v>
      </c>
      <c r="G16" s="4">
        <v>1.8693779999999999E-7</v>
      </c>
      <c r="H16" s="3"/>
    </row>
    <row r="17" spans="4:8">
      <c r="D17" s="3">
        <v>14</v>
      </c>
      <c r="E17" s="3" t="s">
        <v>128</v>
      </c>
      <c r="F17" s="3">
        <v>-0.39930840000000001</v>
      </c>
      <c r="G17" s="4">
        <v>1.127729E-6</v>
      </c>
      <c r="H17" s="3"/>
    </row>
    <row r="18" spans="4:8">
      <c r="D18" s="3">
        <v>15</v>
      </c>
      <c r="E18" s="3" t="s">
        <v>129</v>
      </c>
      <c r="F18" s="3">
        <v>-0.39505440000000003</v>
      </c>
      <c r="G18" s="4">
        <v>7.4289849999999997E-8</v>
      </c>
      <c r="H18" s="3"/>
    </row>
    <row r="19" spans="4:8">
      <c r="D19" s="3">
        <v>16</v>
      </c>
      <c r="E19" s="3" t="s">
        <v>130</v>
      </c>
      <c r="F19" s="3">
        <v>-0.29929070000000002</v>
      </c>
      <c r="G19" s="4">
        <v>4.900983E-4</v>
      </c>
      <c r="H19" s="3"/>
    </row>
    <row r="20" spans="4:8">
      <c r="D20" s="3">
        <v>17</v>
      </c>
      <c r="E20" s="3" t="s">
        <v>131</v>
      </c>
      <c r="F20" s="3">
        <v>-0.27352100000000001</v>
      </c>
      <c r="G20" s="4">
        <v>5.2471540000000001E-10</v>
      </c>
      <c r="H20" s="3"/>
    </row>
    <row r="21" spans="4:8">
      <c r="D21" s="3">
        <v>18</v>
      </c>
      <c r="E21" s="3" t="s">
        <v>132</v>
      </c>
      <c r="F21" s="3">
        <v>-0.20950089999999999</v>
      </c>
      <c r="G21" s="4">
        <v>3.1218930000000002E-5</v>
      </c>
    </row>
  </sheetData>
  <mergeCells count="1"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 5 pathways</vt:lpstr>
      <vt:lpstr>Top canidates</vt:lpstr>
      <vt:lpstr>R-MMU-9006934</vt:lpstr>
      <vt:lpstr>R-MMU-1474244</vt:lpstr>
      <vt:lpstr>R-MMU-1566948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Salamon</dc:creator>
  <cp:lastModifiedBy>Becky Salamon</cp:lastModifiedBy>
  <dcterms:created xsi:type="dcterms:W3CDTF">2025-07-28T09:13:11Z</dcterms:created>
  <dcterms:modified xsi:type="dcterms:W3CDTF">2025-07-28T09:49:21Z</dcterms:modified>
</cp:coreProperties>
</file>